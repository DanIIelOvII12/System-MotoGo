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A88EE0A4-43CB-4AB3-9F5B-4E657606F902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Hoja 1" sheetId="1" r:id="rId1"/>
    <sheet name="EMPLEADOS " sheetId="2" r:id="rId2"/>
    <sheet name="Analista" sheetId="3" r:id="rId3"/>
    <sheet name="Analista de software" sheetId="4" r:id="rId4"/>
    <sheet name="Desarrollador" sheetId="5" r:id="rId5"/>
    <sheet name="Test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6" i="2"/>
  <c r="N5" i="2"/>
  <c r="F15" i="2"/>
  <c r="L14" i="1"/>
  <c r="L13" i="1"/>
  <c r="N8" i="2" l="1"/>
</calcChain>
</file>

<file path=xl/sharedStrings.xml><?xml version="1.0" encoding="utf-8"?>
<sst xmlns="http://schemas.openxmlformats.org/spreadsheetml/2006/main" count="290" uniqueCount="142">
  <si>
    <t>Cuadro Comparativo de Cotizaciones para MOTOGO</t>
  </si>
  <si>
    <t>Presupuestos (a)</t>
  </si>
  <si>
    <t>ROL</t>
  </si>
  <si>
    <t>Computador</t>
  </si>
  <si>
    <t>Importe Total</t>
  </si>
  <si>
    <t xml:space="preserve">Forma de Pago 
 </t>
  </si>
  <si>
    <t>Observaciones 
 (se debe incluir toda aquella característica que no ha sido posible incluir anteriormente)</t>
  </si>
  <si>
    <t>Nº 1</t>
  </si>
  <si>
    <t>Analista</t>
  </si>
  <si>
    <t>LENOVO THINKCENTRE NEO 50Q I5 8GB 256GB + MONITOR 24″ FHD</t>
  </si>
  <si>
    <t>1.919.900</t>
  </si>
  <si>
    <t>contado</t>
  </si>
  <si>
    <t>Procesador: Intel Core i5-13420H
Memoria RAM: 8 GB DDR4 a 3200 MHz
Almacenamiento: SSD M.2 NVMe PCIe de 512 GB</t>
  </si>
  <si>
    <t>Nº2</t>
  </si>
  <si>
    <t>Analista de Software</t>
  </si>
  <si>
    <t>TODO EN UNO LENOVO AMD RYZEN 7-7730U 24GB RAM 512GB SSD 238″ FHD</t>
  </si>
  <si>
    <t>2.379.900</t>
  </si>
  <si>
    <t>Procesador: AMD Ryzen 7 7730U (8 núcleos / 16 hilos, 2.0 GHz base hasta 4.5 GHz turbo, 4 MB L2 + 16 MB L3
Ram: 24GB DDR4
Almacenamiento: 512GB SSD M.2 PCIe 4.0 NVMe</t>
  </si>
  <si>
    <t>Nº 3</t>
  </si>
  <si>
    <t>Desarrolador</t>
  </si>
  <si>
    <t>Computador AMD Ryzen 5 9600X 
| 16GB DDR5 RGB De Ram | M.2 NVMe 480GB De Almacenamiento
 | Monitor MSI 24″ IPS FHD 1ms-144Hz</t>
  </si>
  <si>
    <t>3.429.000</t>
  </si>
  <si>
    <t>Procesador: AMD Ryzen 5 9600X
 Memoria: 16GB DDR5 RGB
 Almacenamiento 512GB SSD M.2 NVMe™ PCIe® 3.0 Fabricante de tarjeta gráfica Intel® UHD 630</t>
  </si>
  <si>
    <t>Nº 4</t>
  </si>
  <si>
    <t>Tester</t>
  </si>
  <si>
    <t>Salario Base</t>
  </si>
  <si>
    <t>Aux Transporte</t>
  </si>
  <si>
    <t>Salud 
(8.5%)</t>
  </si>
  <si>
    <t>Pensión
(12%)</t>
  </si>
  <si>
    <t>ARL
(0.5%)</t>
  </si>
  <si>
    <t>Caja de Compensación
(4%)</t>
  </si>
  <si>
    <t>Prima
(8.33%)</t>
  </si>
  <si>
    <t>Centantias
(8.33%)</t>
  </si>
  <si>
    <t>Intereses de Censantia
(1%)</t>
  </si>
  <si>
    <t>TOTAL</t>
  </si>
  <si>
    <t>N/A</t>
  </si>
  <si>
    <t>$333,200,00</t>
  </si>
  <si>
    <t>$162,000,00</t>
  </si>
  <si>
    <t>$212,500,00</t>
  </si>
  <si>
    <t>ROLES</t>
  </si>
  <si>
    <t>TIPOS DE CONTRATO</t>
  </si>
  <si>
    <t>SALARIO-HONORARIOS</t>
  </si>
  <si>
    <t>SEGURIDAD SOCIAL</t>
  </si>
  <si>
    <t>PRESTACIONES SOCIALES</t>
  </si>
  <si>
    <t>PESION (12%)</t>
  </si>
  <si>
    <t>ARL(0,5 -1%)</t>
  </si>
  <si>
    <t>PRIMA (8.33%)</t>
  </si>
  <si>
    <t>CESANTIAS (8.33%)</t>
  </si>
  <si>
    <t>INTERESES CESANTIAS (1%)</t>
  </si>
  <si>
    <t>VACACIONES (4.17%)</t>
  </si>
  <si>
    <t>CAJA DE COMPENSACION(4%)</t>
  </si>
  <si>
    <t>Analistas</t>
  </si>
  <si>
    <t>Desarrolladores Junior</t>
  </si>
  <si>
    <t>Arquitecto Sotfware</t>
  </si>
  <si>
    <t>Testing's</t>
  </si>
  <si>
    <t>FICHA TÉCNICA DE EQUIPO DE CÓMPUTO</t>
  </si>
  <si>
    <t>INFORMACIÓN GENERAL</t>
  </si>
  <si>
    <t>Nombre del equipo</t>
  </si>
  <si>
    <t>Marca</t>
  </si>
  <si>
    <t>lenovo</t>
  </si>
  <si>
    <t>Modelo</t>
  </si>
  <si>
    <t>NEO 50Q GEN 4</t>
  </si>
  <si>
    <t>Tipo (Desktop/Laptop)</t>
  </si>
  <si>
    <t>Desktop</t>
  </si>
  <si>
    <t>HARDWARE</t>
  </si>
  <si>
    <t>Procesador (CPU)</t>
  </si>
  <si>
    <t>Intel Core i5-13420H (13ª generación, 8 núcleos)</t>
  </si>
  <si>
    <t>Memoria RAM (GB)</t>
  </si>
  <si>
    <t>8 GB DDR4 a 3200 MHz (expandible hasta 32 GB)</t>
  </si>
  <si>
    <t>Almacenamiento principal (SSD/HDD)</t>
  </si>
  <si>
    <t>SSD M.2 NVMe PCIe de 512 GB</t>
  </si>
  <si>
    <t>Capacidad almacenamiento</t>
  </si>
  <si>
    <t>512 GB</t>
  </si>
  <si>
    <t>Tarjeta gráfica (GPU)</t>
  </si>
  <si>
    <t>Intel UHD integrados</t>
  </si>
  <si>
    <t>SOFTWARE</t>
  </si>
  <si>
    <t>Sistema operativo</t>
  </si>
  <si>
    <t>Windows 11 Pro preinstalado</t>
  </si>
  <si>
    <t>Licencia</t>
  </si>
  <si>
    <t>Software instalado importante</t>
  </si>
  <si>
    <t>PERIFÉRICOS</t>
  </si>
  <si>
    <t>Monitor</t>
  </si>
  <si>
    <t>Lenovo de 24 pulgadas Full HD (23.8")</t>
  </si>
  <si>
    <t>Teclado</t>
  </si>
  <si>
    <t>Mouse</t>
  </si>
  <si>
    <t>Otros dispositivos</t>
  </si>
  <si>
    <t>RED Y CONECTIVIDAD</t>
  </si>
  <si>
    <t>Dirección IP</t>
  </si>
  <si>
    <t>Dirección MAC</t>
  </si>
  <si>
    <t>WiFi</t>
  </si>
  <si>
    <t>Wi-Fi 6, Ethernet RJ‑45 Gigabit</t>
  </si>
  <si>
    <t>Bluetooth</t>
  </si>
  <si>
    <t>Puertos disponibles</t>
  </si>
  <si>
    <t>Puertos frontales:
1 × USB-C
1 × USB-A
1 × Combo Jack 3.5 mm
Puertos traseros:
1 x Display Port
4 x USB tipo A
1 x HDMI
1 x Conector RJ45</t>
  </si>
  <si>
    <t>GESTIÓN</t>
  </si>
  <si>
    <t>Fecha de compra</t>
  </si>
  <si>
    <t>Garantía</t>
  </si>
  <si>
    <t>Ubicación</t>
  </si>
  <si>
    <t>Responsable</t>
  </si>
  <si>
    <t>Estado (Activo/En reparación)</t>
  </si>
  <si>
    <t>Observaciones</t>
  </si>
  <si>
    <t>Lenovo</t>
  </si>
  <si>
    <t>AIO 24ALC6</t>
  </si>
  <si>
    <t>AMD Ryzen 7 7730U (8 núcleos / 16 hilos, 2.0 GHz base hasta 4.5 GHz turbo, 4 MB L2 + 16 MB L3</t>
  </si>
  <si>
    <t>24GB DDR4</t>
  </si>
  <si>
    <t>512GB SSD M.2 PCIe 4.0 NVMe</t>
  </si>
  <si>
    <t>512GB</t>
  </si>
  <si>
    <t>AMD Radeon™ Graphics</t>
  </si>
  <si>
    <t>Free dos</t>
  </si>
  <si>
    <t>Teclado alámbrico Lenovo Calliope</t>
  </si>
  <si>
    <t>Mouse alámbrico Lenovo Calliope</t>
  </si>
  <si>
    <t>90W de alta eficiencia</t>
  </si>
  <si>
    <t>Wi-Fi 6 (802.11ax 2x2)</t>
  </si>
  <si>
    <t>Bluetooth 5.2</t>
  </si>
  <si>
    <t>2x USB 2.0 
2x USB 3.2 Gen 1 
1x HDMI 1.4 
1x Ethernet RJ-45 
1x conector de alimentación</t>
  </si>
  <si>
    <t>Viene con garantía de 1 año por defectos de fábrica.</t>
  </si>
  <si>
    <t>Computador AMD Ryzen 5 9600X | 16GB DDR5 RGB De Ram | M.2 NVMe 480GB De Almacenamiento | Monitor MSI 24″ IPS FHD 1ms-144Hz</t>
  </si>
  <si>
    <t>cougar</t>
  </si>
  <si>
    <t>AMD Ryzen 5 9600x</t>
  </si>
  <si>
    <t>16GB DDR5 RGB</t>
  </si>
  <si>
    <t>M.2 NVMe 480GB De Almacenamiento</t>
  </si>
  <si>
    <t>480GB</t>
  </si>
  <si>
    <t>MSI 24″ IPS FHD 1ms-144Hz</t>
  </si>
  <si>
    <t>EVC MK102R</t>
  </si>
  <si>
    <t xml:space="preserve">AUXILIO DE TRANSPORTE </t>
  </si>
  <si>
    <t>Prestación de servicios</t>
  </si>
  <si>
    <t>Indefinido</t>
  </si>
  <si>
    <t>CANTIDAD</t>
  </si>
  <si>
    <t>ESPECIFICACIONES</t>
  </si>
  <si>
    <t>PROPÓSITO</t>
  </si>
  <si>
    <t>MENSUAL ESTIMADO</t>
  </si>
  <si>
    <t>Programador Junior</t>
  </si>
  <si>
    <t>Analista de Datos</t>
  </si>
  <si>
    <t>Arquitecto SW</t>
  </si>
  <si>
    <t>Core i5 / Ryzen 5, 16GB 
RAM, 256GB SSD</t>
  </si>
  <si>
    <t>Core i7, 16GB RAM,
 Monitor 24" Externo</t>
  </si>
  <si>
    <t>MacBook Pro o Core 
i9, 32GB RAM, 512GB SSD</t>
  </si>
  <si>
    <t>Desarrollo de software</t>
  </si>
  <si>
    <t>Carga de inventario masivo,
 compatibilidad de repuestos y BI.</t>
  </si>
  <si>
    <t>Diseño de la base de datos 
escalable y seguridad del sistema.</t>
  </si>
  <si>
    <t>TOTAL HORAS (150)</t>
  </si>
  <si>
    <t>SALUD(8.5%)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</si>
</sst>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#,##0.00"/>
    <numFmt numFmtId="165" formatCode="&quot;$&quot;#,##0"/>
    <numFmt numFmtId="166" formatCode="_-[$$-240A]\ * #,##0.00_-;\-[$$-240A]\ * #,##0.00_-;_-[$$-240A]\ * &quot;-&quot;??_-;_-@_-"/>
  </numFmts>
  <fonts count="29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8"/>
      <color rgb="FF000000"/>
      <name val="&quot;Trebuchet MS&quot;"/>
    </font>
    <font>
      <b/>
      <sz val="10"/>
      <color rgb="FF000000"/>
      <name val="&quot;Trebuchet MS&quot;"/>
    </font>
    <font>
      <i/>
      <sz val="10"/>
      <color rgb="FF000000"/>
      <name val="Arial"/>
    </font>
    <font>
      <sz val="10"/>
      <color rgb="FF000000"/>
      <name val="&quot;Trebuchet MS&quot;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231F20"/>
      <name val="&quot;Trebuchet MS&quot;"/>
    </font>
    <font>
      <u/>
      <sz val="10"/>
      <color rgb="FF0000FF"/>
      <name val="&quot;Trebuchet MS&quot;"/>
    </font>
    <font>
      <u/>
      <sz val="10"/>
      <color rgb="FF000000"/>
      <name val="&quot;Trebuchet MS&quot;"/>
    </font>
    <font>
      <sz val="10"/>
      <color theme="1"/>
      <name val="&quot;Trebuchet MS&quot;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Lato"/>
    </font>
    <font>
      <sz val="11"/>
      <color rgb="FF444444"/>
      <name val="Poppins"/>
    </font>
    <font>
      <sz val="10"/>
      <color rgb="FF333333"/>
      <name val="Lato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0"/>
      <name val="Calibri"/>
      <family val="2"/>
    </font>
    <font>
      <sz val="10"/>
      <color theme="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B6D7A8"/>
      </patternFill>
    </fill>
    <fill>
      <patternFill patternType="solid">
        <fgColor theme="1" tint="0.14999847407452621"/>
        <bgColor rgb="FF6FA8DC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rgb="FFB6D7A8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11" fillId="0" borderId="0" xfId="0" applyFont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3" fillId="0" borderId="4" xfId="0" applyFont="1" applyBorder="1"/>
    <xf numFmtId="0" fontId="8" fillId="0" borderId="2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vertical="top"/>
    </xf>
    <xf numFmtId="0" fontId="3" fillId="0" borderId="8" xfId="0" applyFont="1" applyBorder="1"/>
    <xf numFmtId="0" fontId="10" fillId="0" borderId="0" xfId="0" applyFont="1"/>
    <xf numFmtId="164" fontId="10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 vertical="top"/>
    </xf>
    <xf numFmtId="164" fontId="10" fillId="0" borderId="4" xfId="0" applyNumberFormat="1" applyFont="1" applyBorder="1"/>
    <xf numFmtId="164" fontId="10" fillId="0" borderId="0" xfId="0" applyNumberFormat="1" applyFont="1"/>
    <xf numFmtId="164" fontId="14" fillId="0" borderId="4" xfId="0" applyNumberFormat="1" applyFont="1" applyBorder="1" applyAlignment="1">
      <alignment horizontal="center" vertical="top"/>
    </xf>
    <xf numFmtId="164" fontId="3" fillId="0" borderId="4" xfId="0" applyNumberFormat="1" applyFont="1" applyBorder="1"/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right"/>
    </xf>
    <xf numFmtId="165" fontId="10" fillId="0" borderId="0" xfId="0" applyNumberFormat="1" applyFont="1"/>
    <xf numFmtId="164" fontId="15" fillId="0" borderId="8" xfId="0" applyNumberFormat="1" applyFont="1" applyBorder="1"/>
    <xf numFmtId="0" fontId="15" fillId="0" borderId="8" xfId="0" applyFont="1" applyBorder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9" fillId="0" borderId="14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1" fillId="7" borderId="11" xfId="0" applyFont="1" applyFill="1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0" fontId="22" fillId="7" borderId="11" xfId="0" applyFont="1" applyFill="1" applyBorder="1" applyAlignment="1">
      <alignment wrapText="1"/>
    </xf>
    <xf numFmtId="0" fontId="23" fillId="7" borderId="11" xfId="0" applyFont="1" applyFill="1" applyBorder="1" applyAlignment="1">
      <alignment wrapText="1"/>
    </xf>
    <xf numFmtId="44" fontId="16" fillId="5" borderId="10" xfId="1" applyFont="1" applyFill="1" applyBorder="1"/>
    <xf numFmtId="44" fontId="10" fillId="0" borderId="4" xfId="1" applyFont="1" applyBorder="1" applyAlignment="1">
      <alignment horizontal="center"/>
    </xf>
    <xf numFmtId="44" fontId="16" fillId="5" borderId="8" xfId="1" applyFont="1" applyFill="1" applyBorder="1"/>
    <xf numFmtId="44" fontId="17" fillId="0" borderId="4" xfId="1" applyFont="1" applyBorder="1" applyAlignment="1">
      <alignment horizontal="center"/>
    </xf>
    <xf numFmtId="44" fontId="10" fillId="0" borderId="4" xfId="1" applyFont="1" applyBorder="1"/>
    <xf numFmtId="44" fontId="8" fillId="0" borderId="4" xfId="1" applyFont="1" applyBorder="1" applyAlignment="1">
      <alignment horizontal="center" vertical="top"/>
    </xf>
    <xf numFmtId="44" fontId="17" fillId="0" borderId="4" xfId="1" applyFont="1" applyBorder="1" applyAlignment="1">
      <alignment horizontal="right"/>
    </xf>
    <xf numFmtId="44" fontId="10" fillId="0" borderId="0" xfId="1" applyFont="1"/>
    <xf numFmtId="44" fontId="15" fillId="0" borderId="4" xfId="1" applyFont="1" applyBorder="1"/>
    <xf numFmtId="44" fontId="15" fillId="0" borderId="8" xfId="1" applyFont="1" applyBorder="1"/>
    <xf numFmtId="0" fontId="20" fillId="0" borderId="8" xfId="0" applyFont="1" applyBorder="1"/>
    <xf numFmtId="0" fontId="20" fillId="0" borderId="4" xfId="0" applyFont="1" applyBorder="1"/>
    <xf numFmtId="166" fontId="10" fillId="0" borderId="4" xfId="1" applyNumberFormat="1" applyFont="1" applyBorder="1"/>
    <xf numFmtId="0" fontId="26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44" fontId="0" fillId="0" borderId="19" xfId="1" applyFont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44" fontId="26" fillId="0" borderId="19" xfId="0" applyNumberFormat="1" applyFont="1" applyBorder="1"/>
    <xf numFmtId="44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9" fillId="6" borderId="17" xfId="0" applyFont="1" applyFill="1" applyBorder="1" applyAlignment="1">
      <alignment horizontal="center" wrapText="1"/>
    </xf>
    <xf numFmtId="0" fontId="19" fillId="6" borderId="18" xfId="0" applyFont="1" applyFill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44" fontId="0" fillId="0" borderId="20" xfId="0" applyNumberFormat="1" applyBorder="1"/>
    <xf numFmtId="0" fontId="26" fillId="8" borderId="19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vertical="center"/>
    </xf>
    <xf numFmtId="0" fontId="15" fillId="9" borderId="3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vertical="center"/>
    </xf>
    <xf numFmtId="0" fontId="10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27" fillId="10" borderId="10" xfId="0" applyFont="1" applyFill="1" applyBorder="1"/>
    <xf numFmtId="0" fontId="28" fillId="11" borderId="19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vertical="center"/>
    </xf>
    <xf numFmtId="0" fontId="2" fillId="13" borderId="3" xfId="0" applyFont="1" applyFill="1" applyBorder="1" applyAlignment="1">
      <alignment vertical="center"/>
    </xf>
    <xf numFmtId="0" fontId="15" fillId="12" borderId="4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A9F694"/>
      <color rgb="FFB7FF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eedlogic.com.co/tienda/computadores-de-escritorio/computador-amd-ryzen-5-5600gt-16gb-ddr4-rgb-de-ram-m-2-nvme-512gb-de-almacenamiento-monitor-asus-24%e2%80%b3-ips-fhd-1ms-120hz/" TargetMode="External"/><Relationship Id="rId2" Type="http://schemas.openxmlformats.org/officeDocument/2006/relationships/hyperlink" Target="https://www.falabella.com.co/falabella-co/product/143931802/todo-en-uno-lenovo-amd-ryzen-7-7730u-24gb-ram-512gb-ssd-238-fhd/143931804" TargetMode="External"/><Relationship Id="rId1" Type="http://schemas.openxmlformats.org/officeDocument/2006/relationships/hyperlink" Target="https://www.falabella.com.co/falabella-co/product/151770820/lenovo-thinkcentre-neo-50q-i5-8gb-256gb-monitor-24-fhd/151770821" TargetMode="External"/><Relationship Id="rId4" Type="http://schemas.openxmlformats.org/officeDocument/2006/relationships/hyperlink" Target="https://www.falabella.com.co/falabella-co/product/143931802/todo-en-uno-lenovo-amd-ryzen-7-7730u-24gb-ram-512gb-ssd-238-fhd/1439318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L17"/>
  <sheetViews>
    <sheetView workbookViewId="0">
      <selection activeCell="C17" sqref="C17"/>
    </sheetView>
  </sheetViews>
  <sheetFormatPr baseColWidth="10" defaultColWidth="12.7109375" defaultRowHeight="15.75" customHeight="1"/>
  <cols>
    <col min="2" max="2" width="26.42578125" customWidth="1"/>
    <col min="3" max="3" width="58.7109375" customWidth="1"/>
    <col min="4" max="4" width="24.42578125" customWidth="1"/>
    <col min="5" max="5" width="14.28515625" customWidth="1"/>
    <col min="6" max="6" width="92.85546875" customWidth="1"/>
    <col min="8" max="8" width="18.42578125" customWidth="1"/>
    <col min="11" max="11" width="20.42578125" customWidth="1"/>
  </cols>
  <sheetData>
    <row r="4" spans="1:12" ht="15.75" customHeight="1">
      <c r="A4" s="62" t="s">
        <v>0</v>
      </c>
      <c r="B4" s="63"/>
      <c r="C4" s="63"/>
      <c r="D4" s="63"/>
      <c r="E4" s="63"/>
      <c r="F4" s="64"/>
      <c r="G4" s="1"/>
    </row>
    <row r="5" spans="1:12" ht="12.75">
      <c r="A5" s="1"/>
      <c r="B5" s="1"/>
      <c r="C5" s="1"/>
      <c r="D5" s="1"/>
      <c r="E5" s="1"/>
      <c r="F5" s="1"/>
      <c r="G5" s="1"/>
    </row>
    <row r="6" spans="1:12" ht="12.75">
      <c r="A6" s="2" t="s">
        <v>1</v>
      </c>
      <c r="B6" s="3" t="s">
        <v>2</v>
      </c>
      <c r="C6" s="4" t="s">
        <v>3</v>
      </c>
      <c r="D6" s="5" t="s">
        <v>4</v>
      </c>
      <c r="E6" s="6" t="s">
        <v>5</v>
      </c>
      <c r="F6" s="4" t="s">
        <v>6</v>
      </c>
      <c r="G6" s="7"/>
    </row>
    <row r="7" spans="1:12" ht="12.75">
      <c r="A7" s="8" t="s">
        <v>7</v>
      </c>
      <c r="B7" s="9" t="s">
        <v>8</v>
      </c>
      <c r="C7" s="10" t="s">
        <v>9</v>
      </c>
      <c r="D7" s="11" t="s">
        <v>10</v>
      </c>
      <c r="E7" s="9" t="s">
        <v>11</v>
      </c>
      <c r="F7" s="12" t="s">
        <v>12</v>
      </c>
      <c r="G7" s="1"/>
    </row>
    <row r="8" spans="1:12" ht="12.75">
      <c r="A8" s="8" t="s">
        <v>13</v>
      </c>
      <c r="B8" s="13" t="s">
        <v>14</v>
      </c>
      <c r="C8" s="14" t="s">
        <v>15</v>
      </c>
      <c r="D8" s="9" t="s">
        <v>16</v>
      </c>
      <c r="E8" s="9" t="s">
        <v>11</v>
      </c>
      <c r="F8" s="15" t="s">
        <v>17</v>
      </c>
      <c r="G8" s="1"/>
    </row>
    <row r="9" spans="1:12" ht="12.75">
      <c r="A9" s="8" t="s">
        <v>18</v>
      </c>
      <c r="B9" s="16" t="s">
        <v>19</v>
      </c>
      <c r="C9" s="14" t="s">
        <v>20</v>
      </c>
      <c r="D9" s="9" t="s">
        <v>21</v>
      </c>
      <c r="E9" s="9" t="s">
        <v>11</v>
      </c>
      <c r="F9" s="15" t="s">
        <v>22</v>
      </c>
      <c r="G9" s="1"/>
    </row>
    <row r="10" spans="1:12" ht="12.75">
      <c r="A10" s="8" t="s">
        <v>23</v>
      </c>
      <c r="B10" s="17" t="s">
        <v>24</v>
      </c>
      <c r="C10" s="14" t="s">
        <v>15</v>
      </c>
      <c r="D10" s="9" t="s">
        <v>16</v>
      </c>
      <c r="E10" s="9" t="s">
        <v>11</v>
      </c>
      <c r="F10" s="15" t="s">
        <v>17</v>
      </c>
      <c r="G10" s="1"/>
    </row>
    <row r="11" spans="1:12" ht="12.75">
      <c r="A11" s="18"/>
      <c r="B11" s="17"/>
      <c r="C11" s="19"/>
      <c r="D11" s="17"/>
      <c r="E11" s="17"/>
      <c r="F11" s="20"/>
      <c r="G11" s="1"/>
    </row>
    <row r="12" spans="1:12" ht="12.75">
      <c r="A12" s="2" t="s">
        <v>1</v>
      </c>
      <c r="B12" s="3" t="s">
        <v>2</v>
      </c>
      <c r="C12" s="4" t="s">
        <v>25</v>
      </c>
      <c r="D12" s="5" t="s">
        <v>26</v>
      </c>
      <c r="E12" s="6" t="s">
        <v>27</v>
      </c>
      <c r="F12" s="4" t="s">
        <v>28</v>
      </c>
      <c r="G12" s="21" t="s">
        <v>29</v>
      </c>
      <c r="H12" s="21" t="s">
        <v>30</v>
      </c>
      <c r="I12" s="21" t="s">
        <v>31</v>
      </c>
      <c r="J12" s="21" t="s">
        <v>32</v>
      </c>
      <c r="K12" s="21" t="s">
        <v>33</v>
      </c>
      <c r="L12" s="21" t="s">
        <v>34</v>
      </c>
    </row>
    <row r="13" spans="1:12" ht="12.75">
      <c r="A13" s="8" t="s">
        <v>7</v>
      </c>
      <c r="B13" s="9" t="s">
        <v>8</v>
      </c>
      <c r="C13" s="22">
        <v>1750905</v>
      </c>
      <c r="D13" s="22">
        <v>249095</v>
      </c>
      <c r="E13" s="23">
        <v>148827</v>
      </c>
      <c r="F13" s="24">
        <v>210108</v>
      </c>
      <c r="G13" s="25">
        <v>9014</v>
      </c>
      <c r="H13" s="25">
        <v>70036</v>
      </c>
      <c r="I13" s="25">
        <v>145873</v>
      </c>
      <c r="J13" s="25">
        <v>145873</v>
      </c>
      <c r="K13" s="25">
        <v>17509</v>
      </c>
      <c r="L13" s="25">
        <f t="shared" ref="L13:L14" si="0">SUM(C13:K13)</f>
        <v>2747240</v>
      </c>
    </row>
    <row r="14" spans="1:12" ht="12.75">
      <c r="A14" s="8" t="s">
        <v>13</v>
      </c>
      <c r="B14" s="13" t="s">
        <v>14</v>
      </c>
      <c r="C14" s="26">
        <v>2200000</v>
      </c>
      <c r="D14" s="23">
        <v>249095</v>
      </c>
      <c r="E14" s="23">
        <v>187000</v>
      </c>
      <c r="F14" s="27">
        <v>264000</v>
      </c>
      <c r="G14" s="25">
        <v>11484</v>
      </c>
      <c r="H14" s="25">
        <v>88000</v>
      </c>
      <c r="I14" s="25">
        <v>204000</v>
      </c>
      <c r="J14" s="25">
        <v>204000</v>
      </c>
      <c r="K14" s="25">
        <v>24049</v>
      </c>
      <c r="L14" s="25">
        <f t="shared" si="0"/>
        <v>3431628</v>
      </c>
    </row>
    <row r="15" spans="1:12" ht="12.75">
      <c r="A15" s="8" t="s">
        <v>18</v>
      </c>
      <c r="B15" s="16" t="s">
        <v>19</v>
      </c>
      <c r="C15" s="26">
        <v>4000000</v>
      </c>
      <c r="D15" s="9" t="s">
        <v>35</v>
      </c>
      <c r="E15" s="28">
        <v>340000</v>
      </c>
      <c r="F15" s="27">
        <v>480000</v>
      </c>
      <c r="G15" s="25">
        <v>20000</v>
      </c>
      <c r="H15" s="25">
        <v>160000</v>
      </c>
      <c r="I15" s="25">
        <v>333200</v>
      </c>
      <c r="J15" s="29" t="s">
        <v>36</v>
      </c>
      <c r="K15" s="30">
        <v>40000</v>
      </c>
      <c r="L15" s="25">
        <v>4886400</v>
      </c>
    </row>
    <row r="16" spans="1:12" ht="12.75">
      <c r="A16" s="8" t="s">
        <v>23</v>
      </c>
      <c r="B16" s="17" t="s">
        <v>24</v>
      </c>
      <c r="C16" s="26">
        <v>2500000</v>
      </c>
      <c r="D16" s="23" t="s">
        <v>37</v>
      </c>
      <c r="E16" s="9" t="s">
        <v>38</v>
      </c>
      <c r="F16" s="27">
        <v>300000</v>
      </c>
      <c r="G16" s="25">
        <v>12500</v>
      </c>
      <c r="H16" s="25">
        <v>100000</v>
      </c>
      <c r="I16" s="25">
        <v>208250</v>
      </c>
      <c r="J16" s="25">
        <v>208250</v>
      </c>
      <c r="K16" s="25">
        <v>25000</v>
      </c>
      <c r="L16" s="25">
        <v>3216000</v>
      </c>
    </row>
    <row r="17" spans="1:6" ht="12.75">
      <c r="A17" s="18"/>
      <c r="B17" s="17"/>
      <c r="C17" s="19"/>
      <c r="D17" s="17"/>
      <c r="E17" s="17"/>
      <c r="F17" s="20"/>
    </row>
  </sheetData>
  <mergeCells count="1">
    <mergeCell ref="A4:F4"/>
  </mergeCells>
  <hyperlinks>
    <hyperlink ref="C7" r:id="rId1" xr:uid="{00000000-0004-0000-0000-000000000000}"/>
    <hyperlink ref="C8" r:id="rId2" xr:uid="{00000000-0004-0000-0000-000001000000}"/>
    <hyperlink ref="C9" r:id="rId3" xr:uid="{00000000-0004-0000-0000-000002000000}"/>
    <hyperlink ref="C10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O38"/>
  <sheetViews>
    <sheetView tabSelected="1" workbookViewId="0">
      <selection activeCell="E10" sqref="E10"/>
    </sheetView>
  </sheetViews>
  <sheetFormatPr baseColWidth="10" defaultColWidth="12.7109375" defaultRowHeight="15.75" customHeight="1"/>
  <cols>
    <col min="1" max="1" width="3.7109375" customWidth="1"/>
    <col min="2" max="2" width="25.7109375" customWidth="1"/>
    <col min="3" max="3" width="28.5703125" customWidth="1"/>
    <col min="4" max="4" width="22.85546875" customWidth="1"/>
    <col min="5" max="5" width="26.28515625" customWidth="1"/>
    <col min="6" max="6" width="26.140625" customWidth="1"/>
    <col min="7" max="7" width="13" bestFit="1" customWidth="1"/>
    <col min="8" max="8" width="25.140625" customWidth="1"/>
    <col min="9" max="9" width="25.42578125" customWidth="1"/>
    <col min="10" max="10" width="18.85546875" customWidth="1"/>
    <col min="11" max="11" width="25" customWidth="1"/>
    <col min="12" max="12" width="24.140625" customWidth="1"/>
    <col min="13" max="13" width="28.140625" customWidth="1"/>
    <col min="14" max="14" width="15.42578125" bestFit="1" customWidth="1"/>
    <col min="15" max="15" width="18.7109375" customWidth="1"/>
  </cols>
  <sheetData>
    <row r="2" spans="2:15" ht="15.75" customHeight="1">
      <c r="B2" s="71" t="s">
        <v>39</v>
      </c>
      <c r="C2" s="71" t="s">
        <v>40</v>
      </c>
      <c r="D2" s="71" t="s">
        <v>41</v>
      </c>
      <c r="E2" s="72" t="s">
        <v>124</v>
      </c>
      <c r="F2" s="73" t="s">
        <v>42</v>
      </c>
      <c r="G2" s="74"/>
      <c r="H2" s="74"/>
      <c r="I2" s="81" t="s">
        <v>43</v>
      </c>
      <c r="J2" s="82"/>
      <c r="K2" s="82"/>
      <c r="L2" s="83"/>
      <c r="M2" s="75"/>
      <c r="N2" s="71" t="s">
        <v>34</v>
      </c>
      <c r="O2" s="71" t="s">
        <v>140</v>
      </c>
    </row>
    <row r="3" spans="2:15" ht="15.75" customHeight="1">
      <c r="B3" s="76"/>
      <c r="C3" s="76"/>
      <c r="D3" s="76"/>
      <c r="E3" s="77"/>
      <c r="F3" s="78" t="s">
        <v>44</v>
      </c>
      <c r="G3" s="85" t="s">
        <v>141</v>
      </c>
      <c r="H3" s="78" t="s">
        <v>45</v>
      </c>
      <c r="I3" s="84" t="s">
        <v>46</v>
      </c>
      <c r="J3" s="78" t="s">
        <v>47</v>
      </c>
      <c r="K3" s="78" t="s">
        <v>48</v>
      </c>
      <c r="L3" s="78" t="s">
        <v>49</v>
      </c>
      <c r="M3" s="78" t="s">
        <v>50</v>
      </c>
      <c r="N3" s="76"/>
      <c r="O3" s="76"/>
    </row>
    <row r="4" spans="2:15" ht="15.75" customHeight="1">
      <c r="B4" s="79" t="s">
        <v>51</v>
      </c>
      <c r="C4" s="53" t="s">
        <v>126</v>
      </c>
      <c r="D4" s="43">
        <v>2200000</v>
      </c>
      <c r="E4" s="45">
        <v>162000</v>
      </c>
      <c r="F4" s="54">
        <v>264000</v>
      </c>
      <c r="G4" s="47">
        <v>187000</v>
      </c>
      <c r="H4" s="46">
        <v>11484</v>
      </c>
      <c r="I4" s="46">
        <v>183260</v>
      </c>
      <c r="J4" s="46">
        <v>183260</v>
      </c>
      <c r="K4" s="48">
        <v>22000</v>
      </c>
      <c r="L4" s="48">
        <v>91740</v>
      </c>
      <c r="M4" s="49">
        <v>88000</v>
      </c>
      <c r="N4" s="50">
        <f>SUM(D4:M4)</f>
        <v>3392744</v>
      </c>
      <c r="O4" s="51">
        <v>22618</v>
      </c>
    </row>
    <row r="5" spans="2:15" ht="15.75" customHeight="1">
      <c r="B5" s="79" t="s">
        <v>52</v>
      </c>
      <c r="C5" s="53" t="s">
        <v>126</v>
      </c>
      <c r="D5" s="42">
        <v>3000000</v>
      </c>
      <c r="E5" s="50"/>
      <c r="F5" s="50">
        <v>360000</v>
      </c>
      <c r="G5" s="50">
        <v>255000</v>
      </c>
      <c r="H5" s="50">
        <v>15660</v>
      </c>
      <c r="I5" s="50">
        <v>249900</v>
      </c>
      <c r="J5" s="50">
        <v>249900</v>
      </c>
      <c r="K5" s="50">
        <v>30000</v>
      </c>
      <c r="L5" s="50">
        <v>125100</v>
      </c>
      <c r="M5" s="50">
        <v>120000</v>
      </c>
      <c r="N5" s="50">
        <f>SUM(D5:M5)</f>
        <v>4405560</v>
      </c>
      <c r="O5" s="51">
        <v>29370</v>
      </c>
    </row>
    <row r="6" spans="2:15" ht="15.75" customHeight="1">
      <c r="B6" s="79" t="s">
        <v>53</v>
      </c>
      <c r="C6" s="53" t="s">
        <v>126</v>
      </c>
      <c r="D6" s="42">
        <v>6000000</v>
      </c>
      <c r="E6" s="50"/>
      <c r="F6" s="50">
        <v>720000</v>
      </c>
      <c r="G6" s="50">
        <v>510000</v>
      </c>
      <c r="H6" s="50">
        <v>31320</v>
      </c>
      <c r="I6" s="50">
        <v>499800</v>
      </c>
      <c r="J6" s="50">
        <v>499800</v>
      </c>
      <c r="K6" s="50">
        <v>60000</v>
      </c>
      <c r="L6" s="50">
        <v>250200</v>
      </c>
      <c r="M6" s="50">
        <v>240000</v>
      </c>
      <c r="N6" s="50">
        <f>SUM(D6:M6)</f>
        <v>8811120</v>
      </c>
      <c r="O6" s="51">
        <v>58740</v>
      </c>
    </row>
    <row r="7" spans="2:15" ht="15.75" customHeight="1">
      <c r="B7" s="79" t="s">
        <v>54</v>
      </c>
      <c r="C7" s="52" t="s">
        <v>125</v>
      </c>
      <c r="D7" s="44">
        <v>2100000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1"/>
    </row>
    <row r="8" spans="2:15" ht="15.75" customHeight="1">
      <c r="N8" s="69">
        <f>SUM(D7,N4,N5,N6)</f>
        <v>18709424</v>
      </c>
    </row>
    <row r="9" spans="2:15" ht="15.75" customHeight="1">
      <c r="N9" s="61"/>
    </row>
    <row r="11" spans="2:15" ht="15.75" customHeight="1">
      <c r="B11" s="70" t="s">
        <v>39</v>
      </c>
      <c r="C11" s="70" t="s">
        <v>127</v>
      </c>
      <c r="D11" s="70" t="s">
        <v>128</v>
      </c>
      <c r="E11" s="70" t="s">
        <v>129</v>
      </c>
      <c r="F11" s="70" t="s">
        <v>130</v>
      </c>
    </row>
    <row r="12" spans="2:15" ht="49.5" customHeight="1">
      <c r="B12" s="80" t="s">
        <v>131</v>
      </c>
      <c r="C12" s="56">
        <v>2</v>
      </c>
      <c r="D12" s="57" t="s">
        <v>134</v>
      </c>
      <c r="E12" s="55" t="s">
        <v>137</v>
      </c>
      <c r="F12" s="58">
        <v>240000</v>
      </c>
    </row>
    <row r="13" spans="2:15" ht="48" customHeight="1">
      <c r="B13" s="80" t="s">
        <v>132</v>
      </c>
      <c r="C13" s="56">
        <v>1</v>
      </c>
      <c r="D13" s="57" t="s">
        <v>135</v>
      </c>
      <c r="E13" s="57" t="s">
        <v>138</v>
      </c>
      <c r="F13" s="59">
        <v>210000</v>
      </c>
    </row>
    <row r="14" spans="2:15" ht="48" customHeight="1">
      <c r="B14" s="80" t="s">
        <v>133</v>
      </c>
      <c r="C14" s="56">
        <v>1</v>
      </c>
      <c r="D14" s="57" t="s">
        <v>136</v>
      </c>
      <c r="E14" s="57" t="s">
        <v>139</v>
      </c>
      <c r="F14" s="59">
        <v>580000</v>
      </c>
    </row>
    <row r="15" spans="2:15" ht="15.75" customHeight="1">
      <c r="F15" s="60">
        <f>SUM(F12:F14)</f>
        <v>1030000</v>
      </c>
    </row>
    <row r="28" spans="6:7" ht="12.75"/>
    <row r="29" spans="6:7" ht="12.75"/>
    <row r="30" spans="6:7" ht="12.75"/>
    <row r="31" spans="6:7" ht="15">
      <c r="F31" s="33"/>
      <c r="G31" s="34"/>
    </row>
    <row r="32" spans="6:7" ht="12.75"/>
    <row r="33" ht="12.75"/>
    <row r="34" ht="12.75"/>
    <row r="35" ht="12.75"/>
    <row r="36" ht="12.75"/>
    <row r="37" ht="12.75"/>
    <row r="38" ht="12.75"/>
  </sheetData>
  <mergeCells count="8">
    <mergeCell ref="N2:N3"/>
    <mergeCell ref="O2:O3"/>
    <mergeCell ref="B2:B3"/>
    <mergeCell ref="C2:C3"/>
    <mergeCell ref="D2:D3"/>
    <mergeCell ref="F2:H2"/>
    <mergeCell ref="I2:L2"/>
    <mergeCell ref="E2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9"/>
  <sheetViews>
    <sheetView workbookViewId="0">
      <selection activeCell="B24" sqref="B24"/>
    </sheetView>
  </sheetViews>
  <sheetFormatPr baseColWidth="10" defaultColWidth="12.7109375" defaultRowHeight="15.75" customHeight="1"/>
  <cols>
    <col min="1" max="1" width="38.7109375" customWidth="1"/>
    <col min="2" max="2" width="90.28515625" customWidth="1"/>
  </cols>
  <sheetData>
    <row r="1" spans="1:2" ht="63" customHeight="1" thickBot="1">
      <c r="A1" s="67" t="s">
        <v>55</v>
      </c>
      <c r="B1" s="68"/>
    </row>
    <row r="2" spans="1:2" ht="15.75" customHeight="1" thickBot="1">
      <c r="A2" s="65" t="s">
        <v>56</v>
      </c>
      <c r="B2" s="66"/>
    </row>
    <row r="3" spans="1:2" ht="15.75" customHeight="1" thickBot="1">
      <c r="A3" s="35" t="s">
        <v>57</v>
      </c>
      <c r="B3" s="36" t="s">
        <v>9</v>
      </c>
    </row>
    <row r="4" spans="1:2" ht="15.75" customHeight="1" thickBot="1">
      <c r="A4" s="35" t="s">
        <v>58</v>
      </c>
      <c r="B4" s="36" t="s">
        <v>59</v>
      </c>
    </row>
    <row r="5" spans="1:2" ht="15.75" customHeight="1" thickBot="1">
      <c r="A5" s="35" t="s">
        <v>60</v>
      </c>
      <c r="B5" s="36" t="s">
        <v>61</v>
      </c>
    </row>
    <row r="6" spans="1:2" ht="15.75" customHeight="1" thickBot="1">
      <c r="A6" s="35" t="s">
        <v>62</v>
      </c>
      <c r="B6" s="36" t="s">
        <v>63</v>
      </c>
    </row>
    <row r="7" spans="1:2" ht="15.75" customHeight="1" thickBot="1">
      <c r="A7" s="65" t="s">
        <v>64</v>
      </c>
      <c r="B7" s="66"/>
    </row>
    <row r="8" spans="1:2" ht="15.75" customHeight="1" thickBot="1">
      <c r="A8" s="35" t="s">
        <v>65</v>
      </c>
      <c r="B8" s="36" t="s">
        <v>66</v>
      </c>
    </row>
    <row r="9" spans="1:2" ht="15.75" customHeight="1" thickBot="1">
      <c r="A9" s="35" t="s">
        <v>67</v>
      </c>
      <c r="B9" s="36" t="s">
        <v>68</v>
      </c>
    </row>
    <row r="10" spans="1:2" ht="15.75" customHeight="1" thickBot="1">
      <c r="A10" s="35" t="s">
        <v>69</v>
      </c>
      <c r="B10" s="36" t="s">
        <v>70</v>
      </c>
    </row>
    <row r="11" spans="1:2" ht="15.75" customHeight="1" thickBot="1">
      <c r="A11" s="35" t="s">
        <v>71</v>
      </c>
      <c r="B11" s="37" t="s">
        <v>72</v>
      </c>
    </row>
    <row r="12" spans="1:2" ht="15.75" customHeight="1" thickBot="1">
      <c r="A12" s="35" t="s">
        <v>73</v>
      </c>
      <c r="B12" s="36" t="s">
        <v>74</v>
      </c>
    </row>
    <row r="13" spans="1:2" ht="15.75" customHeight="1" thickBot="1">
      <c r="A13" s="38"/>
      <c r="B13" s="36"/>
    </row>
    <row r="14" spans="1:2" ht="15.75" customHeight="1" thickBot="1">
      <c r="A14" s="65" t="s">
        <v>75</v>
      </c>
      <c r="B14" s="66"/>
    </row>
    <row r="15" spans="1:2" ht="15.75" customHeight="1" thickBot="1">
      <c r="A15" s="35" t="s">
        <v>76</v>
      </c>
      <c r="B15" s="36" t="s">
        <v>77</v>
      </c>
    </row>
    <row r="16" spans="1:2" ht="15.75" customHeight="1" thickBot="1">
      <c r="A16" s="35" t="s">
        <v>78</v>
      </c>
      <c r="B16" s="36"/>
    </row>
    <row r="17" spans="1:2" ht="15.75" customHeight="1" thickBot="1">
      <c r="A17" s="35" t="s">
        <v>79</v>
      </c>
      <c r="B17" s="36"/>
    </row>
    <row r="18" spans="1:2" ht="15.75" customHeight="1" thickBot="1">
      <c r="A18" s="38"/>
      <c r="B18" s="36"/>
    </row>
    <row r="19" spans="1:2" ht="15.75" customHeight="1" thickBot="1">
      <c r="A19" s="65" t="s">
        <v>80</v>
      </c>
      <c r="B19" s="66"/>
    </row>
    <row r="20" spans="1:2" ht="15.75" customHeight="1" thickBot="1">
      <c r="A20" s="35" t="s">
        <v>81</v>
      </c>
      <c r="B20" s="36" t="s">
        <v>82</v>
      </c>
    </row>
    <row r="21" spans="1:2" ht="15.75" customHeight="1" thickBot="1">
      <c r="A21" s="35" t="s">
        <v>83</v>
      </c>
      <c r="B21" s="36" t="s">
        <v>59</v>
      </c>
    </row>
    <row r="22" spans="1:2" ht="15.75" customHeight="1" thickBot="1">
      <c r="A22" s="35" t="s">
        <v>84</v>
      </c>
      <c r="B22" s="36" t="s">
        <v>59</v>
      </c>
    </row>
    <row r="23" spans="1:2" ht="15.75" customHeight="1" thickBot="1">
      <c r="A23" s="35" t="s">
        <v>85</v>
      </c>
      <c r="B23" s="36"/>
    </row>
    <row r="24" spans="1:2" ht="15.75" customHeight="1" thickBot="1">
      <c r="A24" s="38"/>
      <c r="B24" s="36"/>
    </row>
    <row r="25" spans="1:2" ht="15.75" customHeight="1" thickBot="1">
      <c r="A25" s="65" t="s">
        <v>86</v>
      </c>
      <c r="B25" s="66"/>
    </row>
    <row r="26" spans="1:2" ht="15.75" customHeight="1" thickBot="1">
      <c r="A26" s="35" t="s">
        <v>87</v>
      </c>
      <c r="B26" s="36"/>
    </row>
    <row r="27" spans="1:2" ht="15.75" customHeight="1" thickBot="1">
      <c r="A27" s="35" t="s">
        <v>88</v>
      </c>
      <c r="B27" s="36"/>
    </row>
    <row r="28" spans="1:2" ht="15.75" customHeight="1" thickBot="1">
      <c r="A28" s="35" t="s">
        <v>89</v>
      </c>
      <c r="B28" s="36" t="s">
        <v>90</v>
      </c>
    </row>
    <row r="29" spans="1:2" ht="15.75" customHeight="1" thickBot="1">
      <c r="A29" s="35" t="s">
        <v>91</v>
      </c>
      <c r="B29" s="36"/>
    </row>
    <row r="30" spans="1:2" ht="15.75" customHeight="1" thickBot="1">
      <c r="A30" s="35" t="s">
        <v>92</v>
      </c>
      <c r="B30" s="36" t="s">
        <v>93</v>
      </c>
    </row>
    <row r="31" spans="1:2" ht="15.75" customHeight="1" thickBot="1">
      <c r="A31" s="65" t="s">
        <v>94</v>
      </c>
      <c r="B31" s="66"/>
    </row>
    <row r="32" spans="1:2" ht="15.75" customHeight="1" thickBot="1">
      <c r="A32" s="35" t="s">
        <v>95</v>
      </c>
      <c r="B32" s="36"/>
    </row>
    <row r="33" spans="1:2" ht="15.75" customHeight="1" thickBot="1">
      <c r="A33" s="35" t="s">
        <v>96</v>
      </c>
      <c r="B33" s="36"/>
    </row>
    <row r="34" spans="1:2" ht="15.75" customHeight="1" thickBot="1">
      <c r="A34" s="35" t="s">
        <v>97</v>
      </c>
      <c r="B34" s="36"/>
    </row>
    <row r="35" spans="1:2" ht="15.75" customHeight="1" thickBot="1">
      <c r="A35" s="35" t="s">
        <v>98</v>
      </c>
      <c r="B35" s="36"/>
    </row>
    <row r="36" spans="1:2" ht="15.75" customHeight="1" thickBot="1">
      <c r="A36" s="35" t="s">
        <v>99</v>
      </c>
      <c r="B36" s="36"/>
    </row>
    <row r="37" spans="1:2" ht="15.75" customHeight="1" thickBot="1">
      <c r="A37" s="35" t="s">
        <v>100</v>
      </c>
      <c r="B37" s="36"/>
    </row>
    <row r="38" spans="1:2" ht="15.75" customHeight="1" thickBot="1">
      <c r="A38" s="39"/>
      <c r="B38" s="39"/>
    </row>
    <row r="39" spans="1:2" ht="15.75" customHeight="1" thickBot="1">
      <c r="A39" s="39"/>
      <c r="B39" s="39"/>
    </row>
  </sheetData>
  <mergeCells count="7">
    <mergeCell ref="A31:B31"/>
    <mergeCell ref="A1:B1"/>
    <mergeCell ref="A2:B2"/>
    <mergeCell ref="A7:B7"/>
    <mergeCell ref="A14:B14"/>
    <mergeCell ref="A19:B19"/>
    <mergeCell ref="A25:B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A13F-CFC4-4061-BAB2-EB677768D092}">
  <dimension ref="A1:B39"/>
  <sheetViews>
    <sheetView workbookViewId="0">
      <selection activeCell="E5" sqref="E5"/>
    </sheetView>
  </sheetViews>
  <sheetFormatPr baseColWidth="10" defaultRowHeight="12.75"/>
  <cols>
    <col min="1" max="1" width="48.5703125" customWidth="1"/>
    <col min="2" max="2" width="60.5703125" customWidth="1"/>
  </cols>
  <sheetData>
    <row r="1" spans="1:2" ht="63" customHeight="1" thickBot="1">
      <c r="A1" s="67" t="s">
        <v>55</v>
      </c>
      <c r="B1" s="68"/>
    </row>
    <row r="2" spans="1:2" ht="15.75" thickBot="1">
      <c r="A2" s="65" t="s">
        <v>56</v>
      </c>
      <c r="B2" s="66"/>
    </row>
    <row r="3" spans="1:2" ht="36.75" thickBot="1">
      <c r="A3" s="35" t="s">
        <v>57</v>
      </c>
      <c r="B3" s="37" t="s">
        <v>15</v>
      </c>
    </row>
    <row r="4" spans="1:2" ht="15.75" thickBot="1">
      <c r="A4" s="35" t="s">
        <v>58</v>
      </c>
      <c r="B4" s="36" t="s">
        <v>101</v>
      </c>
    </row>
    <row r="5" spans="1:2" ht="15.75" thickBot="1">
      <c r="A5" s="35" t="s">
        <v>60</v>
      </c>
      <c r="B5" s="36" t="s">
        <v>102</v>
      </c>
    </row>
    <row r="6" spans="1:2" ht="15.75" thickBot="1">
      <c r="A6" s="35" t="s">
        <v>62</v>
      </c>
      <c r="B6" s="36" t="s">
        <v>63</v>
      </c>
    </row>
    <row r="7" spans="1:2" ht="15.75" thickBot="1">
      <c r="A7" s="65" t="s">
        <v>64</v>
      </c>
      <c r="B7" s="66"/>
    </row>
    <row r="8" spans="1:2" ht="30.75" thickBot="1">
      <c r="A8" s="35" t="s">
        <v>65</v>
      </c>
      <c r="B8" s="36" t="s">
        <v>103</v>
      </c>
    </row>
    <row r="9" spans="1:2" ht="15.75" thickBot="1">
      <c r="A9" s="35" t="s">
        <v>67</v>
      </c>
      <c r="B9" s="36" t="s">
        <v>104</v>
      </c>
    </row>
    <row r="10" spans="1:2" ht="15.75" thickBot="1">
      <c r="A10" s="35" t="s">
        <v>69</v>
      </c>
      <c r="B10" s="36" t="s">
        <v>105</v>
      </c>
    </row>
    <row r="11" spans="1:2" ht="18.75" thickBot="1">
      <c r="A11" s="35" t="s">
        <v>71</v>
      </c>
      <c r="B11" s="37" t="s">
        <v>106</v>
      </c>
    </row>
    <row r="12" spans="1:2" ht="15.75" thickBot="1">
      <c r="A12" s="35" t="s">
        <v>73</v>
      </c>
      <c r="B12" s="36" t="s">
        <v>107</v>
      </c>
    </row>
    <row r="13" spans="1:2" ht="15.75" thickBot="1">
      <c r="A13" s="65" t="s">
        <v>75</v>
      </c>
      <c r="B13" s="66"/>
    </row>
    <row r="14" spans="1:2" ht="15.75" thickBot="1">
      <c r="A14" s="35" t="s">
        <v>76</v>
      </c>
      <c r="B14" s="36" t="s">
        <v>108</v>
      </c>
    </row>
    <row r="15" spans="1:2" ht="15.75" thickBot="1">
      <c r="A15" s="35" t="s">
        <v>78</v>
      </c>
      <c r="B15" s="36"/>
    </row>
    <row r="16" spans="1:2" ht="15.75" thickBot="1">
      <c r="A16" s="35" t="s">
        <v>79</v>
      </c>
      <c r="B16" s="36"/>
    </row>
    <row r="17" spans="1:2" ht="15.75" thickBot="1">
      <c r="A17" s="38"/>
      <c r="B17" s="36"/>
    </row>
    <row r="18" spans="1:2" ht="15.75" thickBot="1">
      <c r="A18" s="65" t="s">
        <v>80</v>
      </c>
      <c r="B18" s="66"/>
    </row>
    <row r="19" spans="1:2" ht="15.75" thickBot="1">
      <c r="A19" s="35" t="s">
        <v>81</v>
      </c>
      <c r="B19" s="36"/>
    </row>
    <row r="20" spans="1:2" ht="15.75" thickBot="1">
      <c r="A20" s="35" t="s">
        <v>83</v>
      </c>
      <c r="B20" s="36" t="s">
        <v>109</v>
      </c>
    </row>
    <row r="21" spans="1:2" ht="18.75" thickBot="1">
      <c r="A21" s="35" t="s">
        <v>84</v>
      </c>
      <c r="B21" s="37" t="s">
        <v>110</v>
      </c>
    </row>
    <row r="22" spans="1:2" ht="15.75" thickBot="1">
      <c r="A22" s="35" t="s">
        <v>85</v>
      </c>
      <c r="B22" s="36" t="s">
        <v>111</v>
      </c>
    </row>
    <row r="23" spans="1:2" ht="15.75" thickBot="1">
      <c r="A23" s="38"/>
      <c r="B23" s="36"/>
    </row>
    <row r="24" spans="1:2" ht="15.75" thickBot="1">
      <c r="A24" s="65" t="s">
        <v>86</v>
      </c>
      <c r="B24" s="66"/>
    </row>
    <row r="25" spans="1:2" ht="15.75" thickBot="1">
      <c r="A25" s="35" t="s">
        <v>87</v>
      </c>
      <c r="B25" s="36"/>
    </row>
    <row r="26" spans="1:2" ht="15.75" thickBot="1">
      <c r="A26" s="35" t="s">
        <v>88</v>
      </c>
      <c r="B26" s="36"/>
    </row>
    <row r="27" spans="1:2" ht="15.75" thickBot="1">
      <c r="A27" s="35" t="s">
        <v>89</v>
      </c>
      <c r="B27" s="36" t="s">
        <v>112</v>
      </c>
    </row>
    <row r="28" spans="1:2" ht="15.75" thickBot="1">
      <c r="A28" s="35" t="s">
        <v>91</v>
      </c>
      <c r="B28" s="36" t="s">
        <v>113</v>
      </c>
    </row>
    <row r="29" spans="1:2" ht="75.75" thickBot="1">
      <c r="A29" s="35" t="s">
        <v>92</v>
      </c>
      <c r="B29" s="36" t="s">
        <v>114</v>
      </c>
    </row>
    <row r="30" spans="1:2" ht="15.75" thickBot="1">
      <c r="A30" s="65" t="s">
        <v>94</v>
      </c>
      <c r="B30" s="66"/>
    </row>
    <row r="31" spans="1:2" ht="15.75" thickBot="1">
      <c r="A31" s="35" t="s">
        <v>95</v>
      </c>
      <c r="B31" s="36"/>
    </row>
    <row r="32" spans="1:2" ht="15.75" thickBot="1">
      <c r="A32" s="35" t="s">
        <v>96</v>
      </c>
      <c r="B32" s="36" t="s">
        <v>115</v>
      </c>
    </row>
    <row r="33" spans="1:2" ht="15.75" thickBot="1">
      <c r="A33" s="35" t="s">
        <v>97</v>
      </c>
      <c r="B33" s="36"/>
    </row>
    <row r="34" spans="1:2" ht="15.75" thickBot="1">
      <c r="A34" s="35" t="s">
        <v>98</v>
      </c>
      <c r="B34" s="36"/>
    </row>
    <row r="35" spans="1:2" ht="15.75" thickBot="1">
      <c r="A35" s="35" t="s">
        <v>99</v>
      </c>
      <c r="B35" s="36"/>
    </row>
    <row r="36" spans="1:2" ht="15.75" thickBot="1">
      <c r="A36" s="35" t="s">
        <v>100</v>
      </c>
      <c r="B36" s="36"/>
    </row>
    <row r="37" spans="1:2" ht="15.75" thickBot="1">
      <c r="A37" s="39"/>
      <c r="B37" s="39"/>
    </row>
    <row r="38" spans="1:2" ht="15.75" thickBot="1">
      <c r="A38" s="39"/>
      <c r="B38" s="39"/>
    </row>
    <row r="39" spans="1:2" ht="15.75" thickBot="1">
      <c r="A39" s="39"/>
      <c r="B39" s="39"/>
    </row>
  </sheetData>
  <mergeCells count="7">
    <mergeCell ref="A30:B30"/>
    <mergeCell ref="A1:B1"/>
    <mergeCell ref="A2:B2"/>
    <mergeCell ref="A7:B7"/>
    <mergeCell ref="A13:B13"/>
    <mergeCell ref="A18:B18"/>
    <mergeCell ref="A24:B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69C0-F5A3-4345-939E-6330086A490E}">
  <dimension ref="A1:B36"/>
  <sheetViews>
    <sheetView workbookViewId="0">
      <selection sqref="A1:B36"/>
    </sheetView>
  </sheetViews>
  <sheetFormatPr baseColWidth="10" defaultRowHeight="12.75"/>
  <cols>
    <col min="1" max="1" width="40" customWidth="1"/>
    <col min="2" max="2" width="57" customWidth="1"/>
  </cols>
  <sheetData>
    <row r="1" spans="1:2" ht="63" customHeight="1" thickBot="1">
      <c r="A1" s="67" t="s">
        <v>55</v>
      </c>
      <c r="B1" s="68"/>
    </row>
    <row r="2" spans="1:2" ht="15.75" thickBot="1">
      <c r="A2" s="65" t="s">
        <v>56</v>
      </c>
      <c r="B2" s="66"/>
    </row>
    <row r="3" spans="1:2" ht="54.75" thickBot="1">
      <c r="A3" s="35" t="s">
        <v>57</v>
      </c>
      <c r="B3" s="37" t="s">
        <v>116</v>
      </c>
    </row>
    <row r="4" spans="1:2" ht="15.75" thickBot="1">
      <c r="A4" s="35" t="s">
        <v>58</v>
      </c>
      <c r="B4" s="36" t="s">
        <v>117</v>
      </c>
    </row>
    <row r="5" spans="1:2" ht="15.75" thickBot="1">
      <c r="A5" s="35" t="s">
        <v>60</v>
      </c>
      <c r="B5" s="36"/>
    </row>
    <row r="6" spans="1:2" ht="15.75" thickBot="1">
      <c r="A6" s="35" t="s">
        <v>62</v>
      </c>
      <c r="B6" s="36" t="s">
        <v>63</v>
      </c>
    </row>
    <row r="7" spans="1:2" ht="15.75" thickBot="1">
      <c r="A7" s="65" t="s">
        <v>64</v>
      </c>
      <c r="B7" s="66"/>
    </row>
    <row r="8" spans="1:2" ht="22.5" thickBot="1">
      <c r="A8" s="35" t="s">
        <v>65</v>
      </c>
      <c r="B8" s="40" t="s">
        <v>118</v>
      </c>
    </row>
    <row r="9" spans="1:2" ht="15.75" thickBot="1">
      <c r="A9" s="35" t="s">
        <v>67</v>
      </c>
      <c r="B9" s="36" t="s">
        <v>119</v>
      </c>
    </row>
    <row r="10" spans="1:2" ht="15.75" thickBot="1">
      <c r="A10" s="35" t="s">
        <v>69</v>
      </c>
      <c r="B10" s="36" t="s">
        <v>120</v>
      </c>
    </row>
    <row r="11" spans="1:2" ht="18.75" thickBot="1">
      <c r="A11" s="35" t="s">
        <v>71</v>
      </c>
      <c r="B11" s="37" t="s">
        <v>121</v>
      </c>
    </row>
    <row r="12" spans="1:2" ht="15.75" thickBot="1">
      <c r="A12" s="35" t="s">
        <v>73</v>
      </c>
      <c r="B12" s="36"/>
    </row>
    <row r="13" spans="1:2" ht="15.75" thickBot="1">
      <c r="A13" s="65" t="s">
        <v>75</v>
      </c>
      <c r="B13" s="66"/>
    </row>
    <row r="14" spans="1:2" ht="15.75" thickBot="1">
      <c r="A14" s="35" t="s">
        <v>76</v>
      </c>
      <c r="B14" s="36" t="s">
        <v>77</v>
      </c>
    </row>
    <row r="15" spans="1:2" ht="15.75" thickBot="1">
      <c r="A15" s="35" t="s">
        <v>78</v>
      </c>
      <c r="B15" s="36"/>
    </row>
    <row r="16" spans="1:2" ht="15.75" thickBot="1">
      <c r="A16" s="35" t="s">
        <v>79</v>
      </c>
      <c r="B16" s="36" t="s">
        <v>77</v>
      </c>
    </row>
    <row r="17" spans="1:2" ht="15.75" thickBot="1">
      <c r="A17" s="38"/>
      <c r="B17" s="36"/>
    </row>
    <row r="18" spans="1:2" ht="15.75" thickBot="1">
      <c r="A18" s="65" t="s">
        <v>80</v>
      </c>
      <c r="B18" s="66"/>
    </row>
    <row r="19" spans="1:2" ht="15.75" thickBot="1">
      <c r="A19" s="35" t="s">
        <v>81</v>
      </c>
      <c r="B19" s="36" t="s">
        <v>122</v>
      </c>
    </row>
    <row r="20" spans="1:2" ht="15.75" thickBot="1">
      <c r="A20" s="35" t="s">
        <v>83</v>
      </c>
      <c r="B20" s="36" t="s">
        <v>123</v>
      </c>
    </row>
    <row r="21" spans="1:2" ht="17.25" thickBot="1">
      <c r="A21" s="35" t="s">
        <v>84</v>
      </c>
      <c r="B21" s="41" t="s">
        <v>123</v>
      </c>
    </row>
    <row r="22" spans="1:2" ht="15.75" thickBot="1">
      <c r="A22" s="35" t="s">
        <v>85</v>
      </c>
      <c r="B22" s="36"/>
    </row>
    <row r="23" spans="1:2" ht="15.75" thickBot="1">
      <c r="A23" s="38"/>
      <c r="B23" s="36"/>
    </row>
    <row r="24" spans="1:2" ht="15.75" thickBot="1">
      <c r="A24" s="65" t="s">
        <v>86</v>
      </c>
      <c r="B24" s="66"/>
    </row>
    <row r="25" spans="1:2" ht="15.75" thickBot="1">
      <c r="A25" s="35" t="s">
        <v>87</v>
      </c>
      <c r="B25" s="36"/>
    </row>
    <row r="26" spans="1:2" ht="15.75" thickBot="1">
      <c r="A26" s="35" t="s">
        <v>88</v>
      </c>
      <c r="B26" s="36"/>
    </row>
    <row r="27" spans="1:2" ht="15.75" thickBot="1">
      <c r="A27" s="35" t="s">
        <v>89</v>
      </c>
      <c r="B27" s="36"/>
    </row>
    <row r="28" spans="1:2" ht="15.75" thickBot="1">
      <c r="A28" s="35" t="s">
        <v>91</v>
      </c>
      <c r="B28" s="36"/>
    </row>
    <row r="29" spans="1:2" ht="15.75" thickBot="1">
      <c r="A29" s="35" t="s">
        <v>92</v>
      </c>
      <c r="B29" s="36"/>
    </row>
    <row r="30" spans="1:2" ht="15.75" thickBot="1">
      <c r="A30" s="65" t="s">
        <v>94</v>
      </c>
      <c r="B30" s="66"/>
    </row>
    <row r="31" spans="1:2" ht="15.75" thickBot="1">
      <c r="A31" s="35" t="s">
        <v>95</v>
      </c>
      <c r="B31" s="36"/>
    </row>
    <row r="32" spans="1:2" ht="15.75" thickBot="1">
      <c r="A32" s="35" t="s">
        <v>96</v>
      </c>
      <c r="B32" s="36"/>
    </row>
    <row r="33" spans="1:2" ht="15.75" thickBot="1">
      <c r="A33" s="35" t="s">
        <v>97</v>
      </c>
      <c r="B33" s="36"/>
    </row>
    <row r="34" spans="1:2" ht="15.75" thickBot="1">
      <c r="A34" s="35" t="s">
        <v>98</v>
      </c>
      <c r="B34" s="36"/>
    </row>
    <row r="35" spans="1:2" ht="15.75" thickBot="1">
      <c r="A35" s="35" t="s">
        <v>99</v>
      </c>
      <c r="B35" s="36"/>
    </row>
    <row r="36" spans="1:2" ht="15.75" thickBot="1">
      <c r="A36" s="35" t="s">
        <v>100</v>
      </c>
      <c r="B36" s="36"/>
    </row>
  </sheetData>
  <mergeCells count="7">
    <mergeCell ref="A30:B30"/>
    <mergeCell ref="A1:B1"/>
    <mergeCell ref="A2:B2"/>
    <mergeCell ref="A7:B7"/>
    <mergeCell ref="A13:B13"/>
    <mergeCell ref="A18:B18"/>
    <mergeCell ref="A24:B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4D07-B0CC-417A-931C-1F6654A36EFF}">
  <dimension ref="A1:B36"/>
  <sheetViews>
    <sheetView topLeftCell="A17" workbookViewId="0">
      <selection activeCell="G3" sqref="G3"/>
    </sheetView>
  </sheetViews>
  <sheetFormatPr baseColWidth="10" defaultRowHeight="12.75"/>
  <cols>
    <col min="1" max="1" width="53.42578125" customWidth="1"/>
    <col min="2" max="2" width="66.85546875" customWidth="1"/>
  </cols>
  <sheetData>
    <row r="1" spans="1:2" ht="63" customHeight="1" thickBot="1">
      <c r="A1" s="67" t="s">
        <v>55</v>
      </c>
      <c r="B1" s="68"/>
    </row>
    <row r="2" spans="1:2" ht="15.75" thickBot="1">
      <c r="A2" s="65" t="s">
        <v>56</v>
      </c>
      <c r="B2" s="66"/>
    </row>
    <row r="3" spans="1:2" ht="36.75" thickBot="1">
      <c r="A3" s="35" t="s">
        <v>57</v>
      </c>
      <c r="B3" s="37" t="s">
        <v>15</v>
      </c>
    </row>
    <row r="4" spans="1:2" ht="15.75" thickBot="1">
      <c r="A4" s="35" t="s">
        <v>58</v>
      </c>
      <c r="B4" s="36" t="s">
        <v>101</v>
      </c>
    </row>
    <row r="5" spans="1:2" ht="15.75" thickBot="1">
      <c r="A5" s="35" t="s">
        <v>60</v>
      </c>
      <c r="B5" s="36" t="s">
        <v>102</v>
      </c>
    </row>
    <row r="6" spans="1:2" ht="15.75" thickBot="1">
      <c r="A6" s="35" t="s">
        <v>62</v>
      </c>
      <c r="B6" s="36" t="s">
        <v>63</v>
      </c>
    </row>
    <row r="7" spans="1:2" ht="15.75" thickBot="1">
      <c r="A7" s="65" t="s">
        <v>64</v>
      </c>
      <c r="B7" s="66"/>
    </row>
    <row r="8" spans="1:2" ht="30.75" thickBot="1">
      <c r="A8" s="35" t="s">
        <v>65</v>
      </c>
      <c r="B8" s="36" t="s">
        <v>103</v>
      </c>
    </row>
    <row r="9" spans="1:2" ht="15.75" thickBot="1">
      <c r="A9" s="35" t="s">
        <v>67</v>
      </c>
      <c r="B9" s="36" t="s">
        <v>104</v>
      </c>
    </row>
    <row r="10" spans="1:2" ht="15.75" thickBot="1">
      <c r="A10" s="35" t="s">
        <v>69</v>
      </c>
      <c r="B10" s="36" t="s">
        <v>105</v>
      </c>
    </row>
    <row r="11" spans="1:2" ht="18.75" thickBot="1">
      <c r="A11" s="35" t="s">
        <v>71</v>
      </c>
      <c r="B11" s="37" t="s">
        <v>106</v>
      </c>
    </row>
    <row r="12" spans="1:2" ht="15.75" thickBot="1">
      <c r="A12" s="35" t="s">
        <v>73</v>
      </c>
      <c r="B12" s="36" t="s">
        <v>107</v>
      </c>
    </row>
    <row r="13" spans="1:2" ht="15.75" thickBot="1">
      <c r="A13" s="65" t="s">
        <v>75</v>
      </c>
      <c r="B13" s="66"/>
    </row>
    <row r="14" spans="1:2" ht="15.75" thickBot="1">
      <c r="A14" s="35" t="s">
        <v>76</v>
      </c>
      <c r="B14" s="36" t="s">
        <v>108</v>
      </c>
    </row>
    <row r="15" spans="1:2" ht="15.75" thickBot="1">
      <c r="A15" s="35" t="s">
        <v>78</v>
      </c>
      <c r="B15" s="36"/>
    </row>
    <row r="16" spans="1:2" ht="15.75" thickBot="1">
      <c r="A16" s="35" t="s">
        <v>79</v>
      </c>
      <c r="B16" s="36"/>
    </row>
    <row r="17" spans="1:2" ht="15.75" thickBot="1">
      <c r="A17" s="38"/>
      <c r="B17" s="36"/>
    </row>
    <row r="18" spans="1:2" ht="15.75" thickBot="1">
      <c r="A18" s="65" t="s">
        <v>80</v>
      </c>
      <c r="B18" s="66"/>
    </row>
    <row r="19" spans="1:2" ht="15.75" thickBot="1">
      <c r="A19" s="35" t="s">
        <v>81</v>
      </c>
      <c r="B19" s="36"/>
    </row>
    <row r="20" spans="1:2" ht="15.75" thickBot="1">
      <c r="A20" s="35" t="s">
        <v>83</v>
      </c>
      <c r="B20" s="36" t="s">
        <v>109</v>
      </c>
    </row>
    <row r="21" spans="1:2" ht="18.75" thickBot="1">
      <c r="A21" s="35" t="s">
        <v>84</v>
      </c>
      <c r="B21" s="37" t="s">
        <v>110</v>
      </c>
    </row>
    <row r="22" spans="1:2" ht="15.75" thickBot="1">
      <c r="A22" s="35" t="s">
        <v>85</v>
      </c>
      <c r="B22" s="36" t="s">
        <v>111</v>
      </c>
    </row>
    <row r="23" spans="1:2" ht="15.75" thickBot="1">
      <c r="A23" s="38"/>
      <c r="B23" s="36"/>
    </row>
    <row r="24" spans="1:2" ht="15.75" thickBot="1">
      <c r="A24" s="65" t="s">
        <v>86</v>
      </c>
      <c r="B24" s="66"/>
    </row>
    <row r="25" spans="1:2" ht="15.75" thickBot="1">
      <c r="A25" s="35" t="s">
        <v>87</v>
      </c>
      <c r="B25" s="36"/>
    </row>
    <row r="26" spans="1:2" ht="15.75" thickBot="1">
      <c r="A26" s="35" t="s">
        <v>88</v>
      </c>
      <c r="B26" s="36"/>
    </row>
    <row r="27" spans="1:2" ht="15.75" thickBot="1">
      <c r="A27" s="35" t="s">
        <v>89</v>
      </c>
      <c r="B27" s="36" t="s">
        <v>112</v>
      </c>
    </row>
    <row r="28" spans="1:2" ht="15.75" thickBot="1">
      <c r="A28" s="35" t="s">
        <v>91</v>
      </c>
      <c r="B28" s="36" t="s">
        <v>113</v>
      </c>
    </row>
    <row r="29" spans="1:2" ht="75.75" thickBot="1">
      <c r="A29" s="35" t="s">
        <v>92</v>
      </c>
      <c r="B29" s="36" t="s">
        <v>114</v>
      </c>
    </row>
    <row r="30" spans="1:2" ht="15.75" thickBot="1">
      <c r="A30" s="65" t="s">
        <v>94</v>
      </c>
      <c r="B30" s="66"/>
    </row>
    <row r="31" spans="1:2" ht="15.75" thickBot="1">
      <c r="A31" s="35" t="s">
        <v>95</v>
      </c>
      <c r="B31" s="36"/>
    </row>
    <row r="32" spans="1:2" ht="15.75" thickBot="1">
      <c r="A32" s="35" t="s">
        <v>96</v>
      </c>
      <c r="B32" s="36" t="s">
        <v>115</v>
      </c>
    </row>
    <row r="33" spans="1:2" ht="15.75" thickBot="1">
      <c r="A33" s="35" t="s">
        <v>97</v>
      </c>
      <c r="B33" s="36"/>
    </row>
    <row r="34" spans="1:2" ht="15.75" thickBot="1">
      <c r="A34" s="35" t="s">
        <v>98</v>
      </c>
      <c r="B34" s="36"/>
    </row>
    <row r="35" spans="1:2" ht="15.75" thickBot="1">
      <c r="A35" s="35" t="s">
        <v>99</v>
      </c>
      <c r="B35" s="36"/>
    </row>
    <row r="36" spans="1:2" ht="15.75" thickBot="1">
      <c r="A36" s="35" t="s">
        <v>100</v>
      </c>
      <c r="B36" s="36"/>
    </row>
  </sheetData>
  <mergeCells count="7">
    <mergeCell ref="A30:B30"/>
    <mergeCell ref="A1:B1"/>
    <mergeCell ref="A2:B2"/>
    <mergeCell ref="A7:B7"/>
    <mergeCell ref="A13:B13"/>
    <mergeCell ref="A18:B18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 1</vt:lpstr>
      <vt:lpstr>EMPLEADOS </vt:lpstr>
      <vt:lpstr>Analista</vt:lpstr>
      <vt:lpstr>Analista de software</vt:lpstr>
      <vt:lpstr>Desarrollador</vt:lpstr>
      <vt:lpstr>Tester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Carvajal Roa</dc:creator>
  <cp:lastModifiedBy>Daniel Oviedo</cp:lastModifiedBy>
  <cp:lastPrinted>2026-04-07T22:00:00Z</cp:lastPrinted>
  <dcterms:created xsi:type="dcterms:W3CDTF">2026-04-07T20:25:40Z</dcterms:created>
  <dcterms:modified xsi:type="dcterms:W3CDTF">2026-04-14T16:29:37Z</dcterms:modified>
</cp:coreProperties>
</file>